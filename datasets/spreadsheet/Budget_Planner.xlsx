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Expens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6"/>
    </font>
    <font>
      <b val="1"/>
      <color rgb="0000FF0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Income Category</t>
        </is>
      </c>
      <c r="B1" s="1" t="inlineStr">
        <is>
          <t>Monthly Amount</t>
        </is>
      </c>
      <c r="C1" s="1" t="inlineStr">
        <is>
          <t>Annual Amount</t>
        </is>
      </c>
    </row>
    <row r="2">
      <c r="A2" t="inlineStr">
        <is>
          <t>Salary</t>
        </is>
      </c>
      <c r="B2" s="2" t="n">
        <v>5000</v>
      </c>
      <c r="C2" s="2">
        <f>B2*12</f>
        <v/>
      </c>
    </row>
    <row r="3">
      <c r="A3" t="inlineStr">
        <is>
          <t>Freelance Income</t>
        </is>
      </c>
      <c r="B3" s="2" t="n">
        <v>1200</v>
      </c>
      <c r="C3" s="2">
        <f>B3*12</f>
        <v/>
      </c>
    </row>
    <row r="4">
      <c r="A4" t="inlineStr">
        <is>
          <t>Investment Returns</t>
        </is>
      </c>
      <c r="B4" s="2" t="n">
        <v>500</v>
      </c>
      <c r="C4" s="2">
        <f>B4*12</f>
        <v/>
      </c>
    </row>
    <row r="5">
      <c r="A5" t="inlineStr">
        <is>
          <t>Rental Income</t>
        </is>
      </c>
      <c r="B5" s="2" t="n">
        <v>800</v>
      </c>
      <c r="C5" s="2">
        <f>B5*12</f>
        <v/>
      </c>
    </row>
    <row r="6">
      <c r="A6" t="inlineStr">
        <is>
          <t>Other Income</t>
        </is>
      </c>
      <c r="B6" s="2" t="n">
        <v>200</v>
      </c>
      <c r="C6" s="2">
        <f>B6*12</f>
        <v/>
      </c>
    </row>
    <row r="7">
      <c r="A7" s="3" t="inlineStr">
        <is>
          <t>Total Income</t>
        </is>
      </c>
      <c r="B7" s="4">
        <f>SUM(B2:B6)</f>
        <v/>
      </c>
      <c r="C7" s="4">
        <f>SUM(C2:C6)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Expense Category</t>
        </is>
      </c>
      <c r="B1" s="1" t="inlineStr">
        <is>
          <t>Budgeted</t>
        </is>
      </c>
      <c r="C1" s="1" t="inlineStr">
        <is>
          <t>Actual</t>
        </is>
      </c>
      <c r="D1" s="1" t="inlineStr">
        <is>
          <t>Difference</t>
        </is>
      </c>
      <c r="E1" s="1" t="inlineStr">
        <is>
          <t>% of Budget</t>
        </is>
      </c>
    </row>
    <row r="2">
      <c r="A2" t="inlineStr">
        <is>
          <t>Housing (Rent/Mortgage)</t>
        </is>
      </c>
      <c r="B2" s="2" t="n">
        <v>1500</v>
      </c>
      <c r="C2" s="2" t="n">
        <v>1500</v>
      </c>
      <c r="D2" s="2">
        <f>B2-C2</f>
        <v/>
      </c>
      <c r="E2" s="5">
        <f>IF(B2=0,0,C2/B2)</f>
        <v/>
      </c>
    </row>
    <row r="3">
      <c r="A3" t="inlineStr">
        <is>
          <t>Utilities</t>
        </is>
      </c>
      <c r="B3" s="2" t="n">
        <v>200</v>
      </c>
      <c r="C3" s="2" t="n">
        <v>185</v>
      </c>
      <c r="D3" s="2">
        <f>B3-C3</f>
        <v/>
      </c>
      <c r="E3" s="5">
        <f>IF(B3=0,0,C3/B3)</f>
        <v/>
      </c>
    </row>
    <row r="4">
      <c r="A4" t="inlineStr">
        <is>
          <t>Groceries</t>
        </is>
      </c>
      <c r="B4" s="2" t="n">
        <v>600</v>
      </c>
      <c r="C4" s="2" t="n">
        <v>650</v>
      </c>
      <c r="D4" s="2">
        <f>B4-C4</f>
        <v/>
      </c>
      <c r="E4" s="5">
        <f>IF(B4=0,0,C4/B4)</f>
        <v/>
      </c>
    </row>
    <row r="5">
      <c r="A5" t="inlineStr">
        <is>
          <t>Transportation</t>
        </is>
      </c>
      <c r="B5" s="2" t="n">
        <v>400</v>
      </c>
      <c r="C5" s="2" t="n">
        <v>420</v>
      </c>
      <c r="D5" s="2">
        <f>B5-C5</f>
        <v/>
      </c>
      <c r="E5" s="5">
        <f>IF(B5=0,0,C5/B5)</f>
        <v/>
      </c>
    </row>
    <row r="6">
      <c r="A6" t="inlineStr">
        <is>
          <t>Insurance</t>
        </is>
      </c>
      <c r="B6" s="2" t="n">
        <v>300</v>
      </c>
      <c r="C6" s="2" t="n">
        <v>300</v>
      </c>
      <c r="D6" s="2">
        <f>B6-C6</f>
        <v/>
      </c>
      <c r="E6" s="5">
        <f>IF(B6=0,0,C6/B6)</f>
        <v/>
      </c>
    </row>
    <row r="7">
      <c r="A7" t="inlineStr">
        <is>
          <t>Healthcare</t>
        </is>
      </c>
      <c r="B7" s="2" t="n">
        <v>250</v>
      </c>
      <c r="C7" s="2" t="n">
        <v>180</v>
      </c>
      <c r="D7" s="2">
        <f>B7-C7</f>
        <v/>
      </c>
      <c r="E7" s="5">
        <f>IF(B7=0,0,C7/B7)</f>
        <v/>
      </c>
    </row>
    <row r="8">
      <c r="A8" t="inlineStr">
        <is>
          <t>Entertainment</t>
        </is>
      </c>
      <c r="B8" s="2" t="n">
        <v>300</v>
      </c>
      <c r="C8" s="2" t="n">
        <v>350</v>
      </c>
      <c r="D8" s="2">
        <f>B8-C8</f>
        <v/>
      </c>
      <c r="E8" s="5">
        <f>IF(B8=0,0,C8/B8)</f>
        <v/>
      </c>
    </row>
    <row r="9">
      <c r="A9" t="inlineStr">
        <is>
          <t>Dining Out</t>
        </is>
      </c>
      <c r="B9" s="2" t="n">
        <v>250</v>
      </c>
      <c r="C9" s="2" t="n">
        <v>280</v>
      </c>
      <c r="D9" s="2">
        <f>B9-C9</f>
        <v/>
      </c>
      <c r="E9" s="5">
        <f>IF(B9=0,0,C9/B9)</f>
        <v/>
      </c>
    </row>
    <row r="10">
      <c r="A10" t="inlineStr">
        <is>
          <t>Clothing</t>
        </is>
      </c>
      <c r="B10" s="2" t="n">
        <v>150</v>
      </c>
      <c r="C10" s="2" t="n">
        <v>120</v>
      </c>
      <c r="D10" s="2">
        <f>B10-C10</f>
        <v/>
      </c>
      <c r="E10" s="5">
        <f>IF(B10=0,0,C10/B10)</f>
        <v/>
      </c>
    </row>
    <row r="11">
      <c r="A11" t="inlineStr">
        <is>
          <t>Personal Care</t>
        </is>
      </c>
      <c r="B11" s="2" t="n">
        <v>100</v>
      </c>
      <c r="C11" s="2" t="n">
        <v>95</v>
      </c>
      <c r="D11" s="2">
        <f>B11-C11</f>
        <v/>
      </c>
      <c r="E11" s="5">
        <f>IF(B11=0,0,C11/B11)</f>
        <v/>
      </c>
    </row>
    <row r="12">
      <c r="A12" t="inlineStr">
        <is>
          <t>Education</t>
        </is>
      </c>
      <c r="B12" s="2" t="n">
        <v>200</v>
      </c>
      <c r="C12" s="2" t="n">
        <v>200</v>
      </c>
      <c r="D12" s="2">
        <f>B12-C12</f>
        <v/>
      </c>
      <c r="E12" s="5">
        <f>IF(B12=0,0,C12/B12)</f>
        <v/>
      </c>
    </row>
    <row r="13">
      <c r="A13" t="inlineStr">
        <is>
          <t>Savings</t>
        </is>
      </c>
      <c r="B13" s="2" t="n">
        <v>1000</v>
      </c>
      <c r="C13" s="2" t="n">
        <v>1000</v>
      </c>
      <c r="D13" s="2">
        <f>B13-C13</f>
        <v/>
      </c>
      <c r="E13" s="5">
        <f>IF(B13=0,0,C13/B13)</f>
        <v/>
      </c>
    </row>
    <row r="14">
      <c r="A14" t="inlineStr">
        <is>
          <t>Debt Payments</t>
        </is>
      </c>
      <c r="B14" s="2" t="n">
        <v>500</v>
      </c>
      <c r="C14" s="2" t="n">
        <v>500</v>
      </c>
      <c r="D14" s="2">
        <f>B14-C14</f>
        <v/>
      </c>
      <c r="E14" s="5">
        <f>IF(B14=0,0,C14/B14)</f>
        <v/>
      </c>
    </row>
    <row r="15">
      <c r="A15" t="inlineStr">
        <is>
          <t>Miscellaneous</t>
        </is>
      </c>
      <c r="B15" s="2" t="n">
        <v>200</v>
      </c>
      <c r="C15" s="2" t="n">
        <v>175</v>
      </c>
      <c r="D15" s="2">
        <f>B15-C15</f>
        <v/>
      </c>
      <c r="E15" s="5">
        <f>IF(B15=0,0,C15/B15)</f>
        <v/>
      </c>
    </row>
    <row r="16">
      <c r="A16" s="3" t="inlineStr">
        <is>
          <t>Total Expenses</t>
        </is>
      </c>
      <c r="B16" s="4">
        <f>SUM(B2:B15)</f>
        <v/>
      </c>
      <c r="C16" s="4">
        <f>SUM(C2:C15)</f>
        <v/>
      </c>
      <c r="D16" s="4">
        <f>SUM(D2:D15)</f>
        <v/>
      </c>
      <c r="E16" s="6">
        <f>IF(B16=0,0,C16/B16)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7" t="inlineStr">
        <is>
          <t>Financial Summary Dashboard</t>
        </is>
      </c>
    </row>
    <row r="3">
      <c r="A3" s="3" t="inlineStr">
        <is>
          <t>Total Monthly Income</t>
        </is>
      </c>
      <c r="B3" s="2">
        <f>Income!B7</f>
        <v/>
      </c>
    </row>
    <row r="4">
      <c r="A4" s="3" t="inlineStr">
        <is>
          <t>Total Annual Income</t>
        </is>
      </c>
      <c r="B4" s="2">
        <f>Income!C7</f>
        <v/>
      </c>
    </row>
    <row r="6">
      <c r="A6" s="3" t="inlineStr">
        <is>
          <t>Total Budgeted Expenses</t>
        </is>
      </c>
      <c r="B6" s="2">
        <f>Expenses!B16</f>
        <v/>
      </c>
    </row>
    <row r="7">
      <c r="A7" s="3" t="inlineStr">
        <is>
          <t>Total Actual Expenses</t>
        </is>
      </c>
      <c r="B7" s="2">
        <f>Expenses!C16</f>
        <v/>
      </c>
    </row>
    <row r="9">
      <c r="A9" s="8" t="inlineStr">
        <is>
          <t>Net Income (Budget)</t>
        </is>
      </c>
      <c r="B9" s="9">
        <f>B3-B6</f>
        <v/>
      </c>
    </row>
    <row r="10">
      <c r="A10" s="8" t="inlineStr">
        <is>
          <t>Net Income (Actual)</t>
        </is>
      </c>
      <c r="B10" s="9">
        <f>B3-B7</f>
        <v/>
      </c>
    </row>
    <row r="12">
      <c r="A12" s="3" t="inlineStr">
        <is>
          <t>Savings Rate</t>
        </is>
      </c>
      <c r="B12" s="6">
        <f>IF(B3=0,0,(B3-B7)/B3)</f>
        <v/>
      </c>
    </row>
    <row r="14">
      <c r="A14" s="10" t="inlineStr">
        <is>
          <t>Budget Performance</t>
        </is>
      </c>
    </row>
    <row r="15">
      <c r="A15" t="inlineStr">
        <is>
          <t>Over/Under Budget</t>
        </is>
      </c>
      <c r="B15" s="2">
        <f>Expenses!D16</f>
        <v/>
      </c>
    </row>
    <row r="16">
      <c r="A16" t="inlineStr">
        <is>
          <t>Budget Adherence</t>
        </is>
      </c>
      <c r="B16" s="5">
        <f>IF(B6=0,0,B7/B6)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2026-02-15T18:39:48Z</dcterms:created>
  <dcterms:modified xsi:type="dcterms:W3CDTF">2026-02-15T18:39:48Z</dcterms:modified>
</cp:coreProperties>
</file>